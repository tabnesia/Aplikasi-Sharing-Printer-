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7C8C8D2-944C-4E01-863E-46B34E016BFD}" xr6:coauthVersionLast="47" xr6:coauthVersionMax="47" xr10:uidLastSave="{00000000-0000-0000-0000-000000000000}"/>
  <bookViews>
    <workbookView xWindow="-120" yWindow="-120" windowWidth="29040" windowHeight="15720" xr2:uid="{5955E5FD-72B4-449A-8ACA-D9209C165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" i="1" l="1"/>
  <c r="M21" i="1"/>
  <c r="M20" i="1"/>
  <c r="M19" i="1"/>
  <c r="M18" i="1"/>
  <c r="M17" i="1"/>
  <c r="M14" i="1"/>
</calcChain>
</file>

<file path=xl/sharedStrings.xml><?xml version="1.0" encoding="utf-8"?>
<sst xmlns="http://schemas.openxmlformats.org/spreadsheetml/2006/main" count="98" uniqueCount="52">
  <si>
    <t>No</t>
  </si>
  <si>
    <t>…</t>
  </si>
  <si>
    <t>dst</t>
  </si>
  <si>
    <t>Pencatatan Pengangkutan Sampah Terpilah</t>
  </si>
  <si>
    <t>Nama</t>
  </si>
  <si>
    <t>Paraf</t>
  </si>
  <si>
    <t>Petugas Pengangkut Sampah (Mandiri / Instansi / Pihak ketiga)*</t>
  </si>
  <si>
    <t>kg/hari</t>
  </si>
  <si>
    <t xml:space="preserve">Tanggal </t>
  </si>
  <si>
    <t>Pengangkutan Sampah</t>
  </si>
  <si>
    <t>Jumlah Sampah Terpilah diangkut</t>
  </si>
  <si>
    <t>Tahun</t>
  </si>
  <si>
    <t>1 Juli 2024</t>
  </si>
  <si>
    <t>3 Juli 2024</t>
  </si>
  <si>
    <t>6 Juli 2024</t>
  </si>
  <si>
    <t>Perusahaan</t>
  </si>
  <si>
    <t>Organik (kg/hari)</t>
  </si>
  <si>
    <t>Anorganik (kg/hari)</t>
  </si>
  <si>
    <t>Jenis</t>
  </si>
  <si>
    <t>truk</t>
  </si>
  <si>
    <t>Nama Fasilitas</t>
  </si>
  <si>
    <t>TPS3R Cerdas</t>
  </si>
  <si>
    <t>TPS3R Hebat</t>
  </si>
  <si>
    <t>Tujuan Akhir (TPA/ TPST/ TPS3R/ INSINERASI)</t>
  </si>
  <si>
    <t>TPST Andalan</t>
  </si>
  <si>
    <t>motor R3</t>
  </si>
  <si>
    <t>pick up</t>
  </si>
  <si>
    <t>Kendaraan Pengangkut (truk/ pickup/ motor roda 3/ dst)</t>
  </si>
  <si>
    <t>Mandiri</t>
  </si>
  <si>
    <t>Tujuan Akhir (TPS3R/ BS/ Rumah Kompos/ dst)</t>
  </si>
  <si>
    <t>PT. Rahasia</t>
  </si>
  <si>
    <t>DLH Kota "X"</t>
  </si>
  <si>
    <t>Pencatatan Pengangkutan Sampah Lainnya dan/atau Residu</t>
  </si>
  <si>
    <t>Jumlah Sampah lainnya dan/atau residu diangkut</t>
  </si>
  <si>
    <t>24 Desember 2025</t>
  </si>
  <si>
    <t>Kutawaringin Industrial Park</t>
  </si>
  <si>
    <t>29 Desember 2025</t>
  </si>
  <si>
    <t>06 Januari 2026</t>
  </si>
  <si>
    <t>14 Januari 2026</t>
  </si>
  <si>
    <t>21 Januari 2026</t>
  </si>
  <si>
    <t>04 Februari 2026</t>
  </si>
  <si>
    <t>12 Februari 2026</t>
  </si>
  <si>
    <t>06 Maret 2026</t>
  </si>
  <si>
    <t>13 Maret 2026</t>
  </si>
  <si>
    <t>31 Maret 2026</t>
  </si>
  <si>
    <t>08 Mei 2026</t>
  </si>
  <si>
    <t>15 Mei 2026</t>
  </si>
  <si>
    <t>26 Mei 2026</t>
  </si>
  <si>
    <t>29 Mei 2026</t>
  </si>
  <si>
    <t>10 Juni 2026</t>
  </si>
  <si>
    <t>12 Juni 2026</t>
  </si>
  <si>
    <t>18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</si>
</sst>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4" fontId="0" fillId="0" borderId="1" xfId="0" applyNumberFormat="1" applyBorder="1"/>
    <xf numFmtId="0" fontId="0" fillId="2" borderId="0" xfId="0" applyFill="1"/>
    <xf numFmtId="4" fontId="4" fillId="0" borderId="1" xfId="0" applyNumberFormat="1" applyFont="1" applyBorder="1"/>
    <xf numFmtId="4" fontId="4" fillId="0" borderId="1" xfId="0" applyNumberFormat="1" applyFont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quotePrefix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4" fillId="4" borderId="1" xfId="0" quotePrefix="1" applyFont="1" applyFill="1" applyBorder="1" applyAlignment="1">
      <alignment horizontal="center"/>
    </xf>
    <xf numFmtId="0" fontId="0" fillId="4" borderId="1" xfId="0" quotePrefix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center" vertical="center"/>
    </xf>
    <xf numFmtId="4" fontId="4" fillId="0" borderId="1" xfId="0" applyNumberFormat="1" applyFont="1" applyBorder="1" applyAlignment="1">
      <alignment vertical="center"/>
    </xf>
    <xf numFmtId="4" fontId="4" fillId="0" borderId="1" xfId="0" applyNumberFormat="1" applyFont="1" applyBorder="1" applyAlignment="1">
      <alignment vertical="center" wrapText="1"/>
    </xf>
    <xf numFmtId="0" fontId="0" fillId="4" borderId="1" xfId="0" quotePrefix="1" applyFill="1" applyBorder="1" applyAlignment="1">
      <alignment horizontal="center" vertical="center"/>
    </xf>
    <xf numFmtId="4" fontId="0" fillId="0" borderId="1" xfId="0" applyNumberFormat="1" applyBorder="1" applyAlignment="1">
      <alignment vertical="center"/>
    </xf>
    <xf numFmtId="15" fontId="0" fillId="4" borderId="1" xfId="0" quotePrefix="1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18B6E-9BA4-4463-8ACE-1AC47411908B}">
  <dimension ref="A1:S27"/>
  <sheetViews>
    <sheetView tabSelected="1" topLeftCell="A10" zoomScale="99" zoomScaleNormal="121" workbookViewId="0">
      <selection activeCell="N12" sqref="N12"/>
    </sheetView>
  </sheetViews>
  <sheetFormatPr defaultRowHeight="15" x14ac:dyDescent="0.25"/>
  <cols>
    <col min="1" max="1" width="5.42578125" customWidth="1"/>
    <col min="2" max="2" width="14.140625" customWidth="1"/>
    <col min="3" max="3" width="13" customWidth="1"/>
    <col min="4" max="4" width="13.7109375" customWidth="1"/>
    <col min="5" max="5" width="12.28515625" customWidth="1"/>
    <col min="6" max="6" width="10" customWidth="1"/>
    <col min="7" max="7" width="14" bestFit="1" customWidth="1"/>
    <col min="8" max="8" width="9" customWidth="1"/>
    <col min="9" max="9" width="1.42578125" style="5" customWidth="1"/>
    <col min="10" max="10" width="5.42578125" customWidth="1"/>
    <col min="11" max="11" width="17.42578125" customWidth="1"/>
    <col min="12" max="12" width="13" customWidth="1"/>
    <col min="13" max="13" width="14.140625" style="31" customWidth="1"/>
    <col min="14" max="14" width="13.7109375" customWidth="1"/>
    <col min="15" max="15" width="15.140625" customWidth="1"/>
    <col min="16" max="16" width="12.140625" customWidth="1"/>
    <col min="17" max="17" width="13.85546875" bestFit="1" customWidth="1"/>
    <col min="18" max="18" width="12.140625" customWidth="1"/>
    <col min="19" max="19" width="1.42578125" style="5" customWidth="1"/>
  </cols>
  <sheetData>
    <row r="1" spans="1:18" ht="18" x14ac:dyDescent="0.25">
      <c r="A1" s="1" t="s">
        <v>32</v>
      </c>
      <c r="B1" s="1"/>
      <c r="C1" s="1"/>
      <c r="D1" s="1"/>
      <c r="E1" s="1"/>
      <c r="F1" s="1"/>
      <c r="G1" s="1"/>
      <c r="H1" s="2"/>
      <c r="J1" s="1" t="s">
        <v>3</v>
      </c>
      <c r="K1" s="1"/>
      <c r="L1" s="1"/>
      <c r="M1" s="28"/>
      <c r="N1" s="1"/>
      <c r="O1" s="1"/>
      <c r="P1" s="1"/>
      <c r="Q1" s="1"/>
      <c r="R1" s="2"/>
    </row>
    <row r="2" spans="1:18" ht="18" x14ac:dyDescent="0.25">
      <c r="A2" s="1" t="s">
        <v>11</v>
      </c>
      <c r="B2" s="1"/>
      <c r="C2" s="1" t="s">
        <v>1</v>
      </c>
      <c r="D2" s="1"/>
      <c r="E2" s="3"/>
      <c r="F2" s="1"/>
      <c r="G2" s="3"/>
      <c r="H2" s="3"/>
      <c r="J2" s="1" t="s">
        <v>11</v>
      </c>
      <c r="K2" s="1"/>
      <c r="L2" s="1" t="s">
        <v>1</v>
      </c>
      <c r="M2" s="28"/>
      <c r="N2" s="1"/>
      <c r="O2" s="3"/>
      <c r="P2" s="1"/>
      <c r="Q2" s="3"/>
      <c r="R2" s="3"/>
    </row>
    <row r="3" spans="1:18" ht="18" x14ac:dyDescent="0.25">
      <c r="A3" s="1" t="s">
        <v>15</v>
      </c>
      <c r="B3" s="1"/>
      <c r="C3" s="1" t="s">
        <v>1</v>
      </c>
      <c r="D3" s="1"/>
      <c r="E3" s="1"/>
      <c r="F3" s="1"/>
      <c r="G3" s="1"/>
      <c r="H3" s="2"/>
      <c r="J3" s="1" t="s">
        <v>15</v>
      </c>
      <c r="K3" s="1"/>
      <c r="L3" s="1" t="s">
        <v>1</v>
      </c>
      <c r="M3" s="28"/>
      <c r="N3" s="1"/>
      <c r="O3" s="1"/>
      <c r="P3" s="1"/>
      <c r="Q3" s="1"/>
      <c r="R3" s="2"/>
    </row>
    <row r="5" spans="1:18" ht="90" x14ac:dyDescent="0.25">
      <c r="A5" s="19" t="s">
        <v>0</v>
      </c>
      <c r="B5" s="12" t="s">
        <v>9</v>
      </c>
      <c r="C5" s="8" t="s">
        <v>33</v>
      </c>
      <c r="D5" s="8" t="s">
        <v>27</v>
      </c>
      <c r="E5" s="17" t="s">
        <v>6</v>
      </c>
      <c r="F5" s="18"/>
      <c r="G5" s="17" t="s">
        <v>23</v>
      </c>
      <c r="H5" s="18"/>
      <c r="J5" s="19" t="s">
        <v>0</v>
      </c>
      <c r="K5" s="12" t="s">
        <v>9</v>
      </c>
      <c r="L5" s="17" t="s">
        <v>10</v>
      </c>
      <c r="M5" s="18"/>
      <c r="N5" s="8" t="s">
        <v>27</v>
      </c>
      <c r="O5" s="17" t="s">
        <v>6</v>
      </c>
      <c r="P5" s="18"/>
      <c r="Q5" s="17" t="s">
        <v>29</v>
      </c>
      <c r="R5" s="18"/>
    </row>
    <row r="6" spans="1:18" ht="30" x14ac:dyDescent="0.25">
      <c r="A6" s="20"/>
      <c r="B6" s="13" t="s">
        <v>8</v>
      </c>
      <c r="C6" s="9" t="s">
        <v>7</v>
      </c>
      <c r="D6" s="10" t="s">
        <v>18</v>
      </c>
      <c r="E6" s="9" t="s">
        <v>4</v>
      </c>
      <c r="F6" s="9" t="s">
        <v>5</v>
      </c>
      <c r="G6" s="9" t="s">
        <v>20</v>
      </c>
      <c r="H6" s="9" t="s">
        <v>5</v>
      </c>
      <c r="J6" s="20"/>
      <c r="K6" s="13" t="s">
        <v>8</v>
      </c>
      <c r="L6" s="11" t="s">
        <v>16</v>
      </c>
      <c r="M6" s="11" t="s">
        <v>17</v>
      </c>
      <c r="N6" s="10" t="s">
        <v>18</v>
      </c>
      <c r="O6" s="9" t="s">
        <v>4</v>
      </c>
      <c r="P6" s="9" t="s">
        <v>5</v>
      </c>
      <c r="Q6" s="9" t="s">
        <v>20</v>
      </c>
      <c r="R6" s="9" t="s">
        <v>5</v>
      </c>
    </row>
    <row r="7" spans="1:18" ht="30" customHeight="1" x14ac:dyDescent="0.25">
      <c r="A7" s="14">
        <v>1</v>
      </c>
      <c r="B7" s="15" t="s">
        <v>12</v>
      </c>
      <c r="C7" s="6">
        <v>123</v>
      </c>
      <c r="D7" s="7" t="s">
        <v>25</v>
      </c>
      <c r="E7" s="6" t="s">
        <v>28</v>
      </c>
      <c r="F7" s="6" t="s">
        <v>1</v>
      </c>
      <c r="G7" s="6" t="s">
        <v>21</v>
      </c>
      <c r="H7" s="6" t="s">
        <v>1</v>
      </c>
      <c r="J7" s="27">
        <v>1</v>
      </c>
      <c r="K7" s="21" t="s">
        <v>34</v>
      </c>
      <c r="L7" s="22"/>
      <c r="M7" s="29">
        <v>5.38</v>
      </c>
      <c r="N7" s="23"/>
      <c r="O7" s="23" t="s">
        <v>35</v>
      </c>
      <c r="P7" s="6"/>
      <c r="Q7" s="6"/>
      <c r="R7" s="6"/>
    </row>
    <row r="8" spans="1:18" ht="28.5" customHeight="1" x14ac:dyDescent="0.25">
      <c r="A8" s="14">
        <v>2</v>
      </c>
      <c r="B8" s="15" t="s">
        <v>13</v>
      </c>
      <c r="C8" s="6">
        <v>456</v>
      </c>
      <c r="D8" s="7" t="s">
        <v>26</v>
      </c>
      <c r="E8" s="6" t="s">
        <v>30</v>
      </c>
      <c r="F8" s="6" t="s">
        <v>1</v>
      </c>
      <c r="G8" s="6" t="s">
        <v>22</v>
      </c>
      <c r="H8" s="6" t="s">
        <v>1</v>
      </c>
      <c r="J8" s="27">
        <v>2</v>
      </c>
      <c r="K8" s="21" t="s">
        <v>36</v>
      </c>
      <c r="L8" s="22"/>
      <c r="M8" s="29">
        <v>5.14</v>
      </c>
      <c r="N8" s="23"/>
      <c r="O8" s="23" t="s">
        <v>35</v>
      </c>
      <c r="P8" s="6"/>
      <c r="Q8" s="6"/>
      <c r="R8" s="6"/>
    </row>
    <row r="9" spans="1:18" ht="29.25" customHeight="1" x14ac:dyDescent="0.25">
      <c r="A9" s="14">
        <v>3</v>
      </c>
      <c r="B9" s="15" t="s">
        <v>14</v>
      </c>
      <c r="C9" s="6">
        <v>789</v>
      </c>
      <c r="D9" s="7" t="s">
        <v>19</v>
      </c>
      <c r="E9" s="6" t="s">
        <v>31</v>
      </c>
      <c r="F9" s="6" t="s">
        <v>1</v>
      </c>
      <c r="G9" s="6" t="s">
        <v>24</v>
      </c>
      <c r="H9" s="6" t="s">
        <v>1</v>
      </c>
      <c r="J9" s="27">
        <v>3</v>
      </c>
      <c r="K9" s="21" t="s">
        <v>37</v>
      </c>
      <c r="L9" s="22"/>
      <c r="M9" s="29">
        <v>13.8</v>
      </c>
      <c r="N9" s="23"/>
      <c r="O9" s="23" t="s">
        <v>35</v>
      </c>
      <c r="P9" s="6"/>
      <c r="Q9" s="6"/>
      <c r="R9" s="6"/>
    </row>
    <row r="10" spans="1:18" ht="31.5" customHeight="1" x14ac:dyDescent="0.25">
      <c r="A10" s="14" t="s">
        <v>1</v>
      </c>
      <c r="B10" s="16" t="s">
        <v>1</v>
      </c>
      <c r="C10" s="4"/>
      <c r="D10" s="4"/>
      <c r="E10" s="4"/>
      <c r="F10" s="4"/>
      <c r="G10" s="4"/>
      <c r="H10" s="4"/>
      <c r="J10" s="27">
        <v>4</v>
      </c>
      <c r="K10" s="21" t="s">
        <v>38</v>
      </c>
      <c r="L10" s="22"/>
      <c r="M10" s="29">
        <v>7.4</v>
      </c>
      <c r="N10" s="23"/>
      <c r="O10" s="23" t="s">
        <v>35</v>
      </c>
      <c r="P10" s="6"/>
      <c r="Q10" s="6"/>
      <c r="R10" s="6"/>
    </row>
    <row r="11" spans="1:18" ht="30" x14ac:dyDescent="0.25">
      <c r="A11" s="14" t="s">
        <v>2</v>
      </c>
      <c r="B11" s="16" t="s">
        <v>2</v>
      </c>
      <c r="C11" s="4"/>
      <c r="D11" s="4"/>
      <c r="E11" s="4"/>
      <c r="F11" s="4"/>
      <c r="G11" s="4"/>
      <c r="H11" s="4"/>
      <c r="J11" s="27">
        <v>5</v>
      </c>
      <c r="K11" s="21" t="s">
        <v>39</v>
      </c>
      <c r="L11" s="22"/>
      <c r="M11" s="29">
        <v>11.4</v>
      </c>
      <c r="N11" s="23"/>
      <c r="O11" s="23" t="s">
        <v>35</v>
      </c>
      <c r="P11" s="6"/>
      <c r="Q11" s="6"/>
      <c r="R11" s="6"/>
    </row>
    <row r="12" spans="1:18" ht="30" x14ac:dyDescent="0.25">
      <c r="J12" s="27">
        <v>6</v>
      </c>
      <c r="K12" s="24" t="s">
        <v>40</v>
      </c>
      <c r="L12" s="25"/>
      <c r="M12" s="30">
        <v>11.66</v>
      </c>
      <c r="N12" s="25"/>
      <c r="O12" s="23" t="s">
        <v>35</v>
      </c>
      <c r="P12" s="4"/>
      <c r="Q12" s="4"/>
      <c r="R12" s="4"/>
    </row>
    <row r="13" spans="1:18" ht="30" x14ac:dyDescent="0.25">
      <c r="J13" s="27">
        <v>7</v>
      </c>
      <c r="K13" s="24" t="s">
        <v>41</v>
      </c>
      <c r="L13" s="25"/>
      <c r="M13" s="30">
        <v>16.61</v>
      </c>
      <c r="N13" s="25"/>
      <c r="O13" s="23" t="s">
        <v>35</v>
      </c>
      <c r="P13" s="4"/>
      <c r="Q13" s="4"/>
      <c r="R13" s="4"/>
    </row>
    <row r="14" spans="1:18" ht="30" x14ac:dyDescent="0.25">
      <c r="J14" s="27">
        <v>8</v>
      </c>
      <c r="K14" s="24" t="s">
        <v>42</v>
      </c>
      <c r="L14" s="25"/>
      <c r="M14" s="30">
        <f>8.99+2.37</f>
        <v>11.36</v>
      </c>
      <c r="N14" s="25"/>
      <c r="O14" s="23" t="s">
        <v>35</v>
      </c>
      <c r="P14" s="4"/>
      <c r="Q14" s="4"/>
      <c r="R14" s="4"/>
    </row>
    <row r="15" spans="1:18" ht="30" x14ac:dyDescent="0.25">
      <c r="J15" s="27">
        <v>9</v>
      </c>
      <c r="K15" s="24" t="s">
        <v>43</v>
      </c>
      <c r="L15" s="25"/>
      <c r="M15" s="30">
        <v>10.3</v>
      </c>
      <c r="N15" s="25"/>
      <c r="O15" s="23" t="s">
        <v>35</v>
      </c>
      <c r="P15" s="4"/>
      <c r="Q15" s="4"/>
      <c r="R15" s="4"/>
    </row>
    <row r="16" spans="1:18" ht="30" x14ac:dyDescent="0.25">
      <c r="J16" s="27">
        <v>10</v>
      </c>
      <c r="K16" s="24" t="s">
        <v>44</v>
      </c>
      <c r="L16" s="25"/>
      <c r="M16" s="30">
        <v>8.1</v>
      </c>
      <c r="N16" s="25"/>
      <c r="O16" s="23" t="s">
        <v>35</v>
      </c>
      <c r="P16" s="4"/>
      <c r="Q16" s="4"/>
      <c r="R16" s="4"/>
    </row>
    <row r="17" spans="10:18" ht="30" x14ac:dyDescent="0.25">
      <c r="J17" s="27">
        <v>11</v>
      </c>
      <c r="K17" s="26">
        <v>46113</v>
      </c>
      <c r="L17" s="25"/>
      <c r="M17" s="30">
        <f>7.45+8.17</f>
        <v>15.620000000000001</v>
      </c>
      <c r="N17" s="25"/>
      <c r="O17" s="23" t="s">
        <v>35</v>
      </c>
      <c r="P17" s="4"/>
      <c r="Q17" s="4"/>
      <c r="R17" s="4"/>
    </row>
    <row r="18" spans="10:18" ht="30" x14ac:dyDescent="0.25">
      <c r="J18" s="27">
        <v>12</v>
      </c>
      <c r="K18" s="26">
        <v>46125</v>
      </c>
      <c r="L18" s="25"/>
      <c r="M18" s="30">
        <f>5.87+3.72</f>
        <v>9.59</v>
      </c>
      <c r="N18" s="25"/>
      <c r="O18" s="23" t="s">
        <v>35</v>
      </c>
      <c r="P18" s="4"/>
      <c r="Q18" s="4"/>
      <c r="R18" s="4"/>
    </row>
    <row r="19" spans="10:18" ht="30" x14ac:dyDescent="0.25">
      <c r="J19" s="27">
        <v>13</v>
      </c>
      <c r="K19" s="26">
        <v>46134</v>
      </c>
      <c r="L19" s="25"/>
      <c r="M19" s="30">
        <f>6.7+5.25</f>
        <v>11.95</v>
      </c>
      <c r="N19" s="25"/>
      <c r="O19" s="23" t="s">
        <v>35</v>
      </c>
      <c r="P19" s="4"/>
      <c r="Q19" s="4"/>
      <c r="R19" s="4"/>
    </row>
    <row r="20" spans="10:18" ht="30" x14ac:dyDescent="0.25">
      <c r="J20" s="27">
        <v>14</v>
      </c>
      <c r="K20" s="26" t="s">
        <v>45</v>
      </c>
      <c r="L20" s="25"/>
      <c r="M20" s="30">
        <f>12.07+4.09</f>
        <v>16.16</v>
      </c>
      <c r="N20" s="25"/>
      <c r="O20" s="23" t="s">
        <v>35</v>
      </c>
      <c r="P20" s="4"/>
      <c r="Q20" s="4"/>
      <c r="R20" s="4"/>
    </row>
    <row r="21" spans="10:18" ht="30" x14ac:dyDescent="0.25">
      <c r="J21" s="27">
        <v>15</v>
      </c>
      <c r="K21" s="26" t="s">
        <v>46</v>
      </c>
      <c r="L21" s="25"/>
      <c r="M21" s="30">
        <f>4.98+5.98</f>
        <v>10.96</v>
      </c>
      <c r="N21" s="25"/>
      <c r="O21" s="23" t="s">
        <v>35</v>
      </c>
      <c r="P21" s="4"/>
      <c r="Q21" s="4"/>
      <c r="R21" s="4"/>
    </row>
    <row r="22" spans="10:18" ht="30" x14ac:dyDescent="0.25">
      <c r="J22" s="27">
        <v>16</v>
      </c>
      <c r="K22" s="26" t="s">
        <v>47</v>
      </c>
      <c r="L22" s="25"/>
      <c r="M22" s="30">
        <v>5.18</v>
      </c>
      <c r="N22" s="25"/>
      <c r="O22" s="23" t="s">
        <v>35</v>
      </c>
      <c r="P22" s="4"/>
      <c r="Q22" s="4"/>
      <c r="R22" s="4"/>
    </row>
    <row r="23" spans="10:18" ht="30" x14ac:dyDescent="0.25">
      <c r="J23" s="27">
        <v>17</v>
      </c>
      <c r="K23" s="26" t="s">
        <v>48</v>
      </c>
      <c r="L23" s="25"/>
      <c r="M23" s="30">
        <v>2.04</v>
      </c>
      <c r="N23" s="25"/>
      <c r="O23" s="23" t="s">
        <v>35</v>
      </c>
      <c r="P23" s="4"/>
      <c r="Q23" s="4"/>
      <c r="R23" s="4"/>
    </row>
    <row r="24" spans="10:18" ht="30" x14ac:dyDescent="0.25">
      <c r="J24" s="27">
        <v>18</v>
      </c>
      <c r="K24" s="26" t="s">
        <v>49</v>
      </c>
      <c r="L24" s="25"/>
      <c r="M24" s="30">
        <v>3.92</v>
      </c>
      <c r="N24" s="25"/>
      <c r="O24" s="23" t="s">
        <v>35</v>
      </c>
      <c r="P24" s="4"/>
      <c r="Q24" s="4"/>
      <c r="R24" s="4"/>
    </row>
    <row r="25" spans="10:18" ht="30" x14ac:dyDescent="0.25">
      <c r="J25" s="27">
        <v>19</v>
      </c>
      <c r="K25" s="26" t="s">
        <v>50</v>
      </c>
      <c r="L25" s="25"/>
      <c r="M25" s="30">
        <f>5.8+2.28</f>
        <v>8.08</v>
      </c>
      <c r="N25" s="25"/>
      <c r="O25" s="23" t="s">
        <v>35</v>
      </c>
      <c r="P25" s="4"/>
      <c r="Q25" s="4"/>
      <c r="R25" s="4"/>
    </row>
    <row r="26" spans="10:18" ht="30" x14ac:dyDescent="0.25">
      <c r="J26" s="27">
        <v>20</v>
      </c>
      <c r="K26" s="26" t="s">
        <v>51</v>
      </c>
      <c r="L26" s="25"/>
      <c r="M26" s="30">
        <v>1.88</v>
      </c>
      <c r="N26" s="25"/>
      <c r="O26" s="23" t="s">
        <v>35</v>
      </c>
      <c r="P26" s="4"/>
      <c r="Q26" s="4"/>
      <c r="R26" s="4"/>
    </row>
    <row r="27" spans="10:18" x14ac:dyDescent="0.25">
      <c r="J27" s="14" t="s">
        <v>2</v>
      </c>
      <c r="K27" s="16" t="s">
        <v>2</v>
      </c>
      <c r="L27" s="4"/>
      <c r="M27" s="30"/>
      <c r="N27" s="4"/>
      <c r="O27" s="4"/>
      <c r="P27" s="4"/>
      <c r="Q27" s="4"/>
      <c r="R27" s="4"/>
    </row>
  </sheetData>
  <mergeCells count="7">
    <mergeCell ref="O5:P5"/>
    <mergeCell ref="Q5:R5"/>
    <mergeCell ref="E5:F5"/>
    <mergeCell ref="A5:A6"/>
    <mergeCell ref="J5:J6"/>
    <mergeCell ref="L5:M5"/>
    <mergeCell ref="G5:H5"/>
  </mergeCells>
  <pageMargins left="0.7" right="0.7" top="0.75" bottom="0.75" header="0.3" footer="0.3"/>
  <pageSetup scal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Aero</dc:creator>
  <cp:lastModifiedBy>User</cp:lastModifiedBy>
  <cp:lastPrinted>2026-07-22T02:30:59Z</cp:lastPrinted>
  <dcterms:created xsi:type="dcterms:W3CDTF">2024-05-14T08:32:00Z</dcterms:created>
  <dcterms:modified xsi:type="dcterms:W3CDTF">2026-07-22T03:01:46Z</dcterms:modified>
</cp:coreProperties>
</file>